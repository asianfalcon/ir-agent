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60" activeTab="1"/>
  </bookViews>
  <sheets>
    <sheet name="Dashboard" sheetId="1" r:id="rId1"/>
    <sheet name="Accounts" sheetId="2" r:id="rId2"/>
    <sheet name="Scenarios" sheetId="3" r:id="rId3"/>
    <sheet name="Ledger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<sst xmlns="http://schemas.openxmlformats.org/spreadsheetml/2006/main" count="223" uniqueCount="124">
  <si>
    <t>股票账户净值与市值管理看板</t>
  </si>
  <si>
    <t>指标</t>
  </si>
  <si>
    <t>当前值</t>
  </si>
  <si>
    <t>说明</t>
  </si>
  <si>
    <t/>
  </si>
  <si>
    <t>账户初始总值</t>
  </si>
  <si>
    <t>用户输入</t>
  </si>
  <si>
    <t>A当前估算净值</t>
  </si>
  <si>
    <t>按初始占比分摊，可在 Accounts 改为手工值</t>
  </si>
  <si>
    <t>当前总净值</t>
  </si>
  <si>
    <t>B当前估算净值</t>
  </si>
  <si>
    <t>累计盈亏</t>
  </si>
  <si>
    <t>当前净值 - 初始总值</t>
  </si>
  <si>
    <t>A转入后资产</t>
  </si>
  <si>
    <t>A当前 + 转入</t>
  </si>
  <si>
    <t>累计收益率</t>
  </si>
  <si>
    <t>累计盈亏 / 初始总值</t>
  </si>
  <si>
    <t>B转入后资产</t>
  </si>
  <si>
    <t>B不变</t>
  </si>
  <si>
    <t>A追加转入</t>
  </si>
  <si>
    <t>A转入后占比</t>
  </si>
  <si>
    <t>A转入后资产 / 总资产</t>
  </si>
  <si>
    <t>转入后总资产</t>
  </si>
  <si>
    <t>当前净值 + A追加转入</t>
  </si>
  <si>
    <t>B转入后占比</t>
  </si>
  <si>
    <t>B转入后资产 / 总资产</t>
  </si>
  <si>
    <t>转入后净投入</t>
  </si>
  <si>
    <t>初始总值 + A追加转入</t>
  </si>
  <si>
    <t>回本所需收益率</t>
  </si>
  <si>
    <t>从转入后总资产回到转入后净投入</t>
  </si>
  <si>
    <t>转入后盈亏</t>
  </si>
  <si>
    <t>转入后总资产 - 转入后净投入</t>
  </si>
  <si>
    <t>目标 10% 收益市值</t>
  </si>
  <si>
    <t>转入后净投入 * 110%</t>
  </si>
  <si>
    <t>转入后收益率</t>
  </si>
  <si>
    <t>转入后盈亏 / 转入后净投入</t>
  </si>
  <si>
    <t>目标 20% 收益市值</t>
  </si>
  <si>
    <t>转入后净投入 * 120%</t>
  </si>
  <si>
    <t>后续收益敏感性</t>
  </si>
  <si>
    <t>后续收益率</t>
  </si>
  <si>
    <t>组合市值</t>
  </si>
  <si>
    <t>组合盈亏</t>
  </si>
  <si>
    <t>总收益率</t>
  </si>
  <si>
    <t>A资产</t>
  </si>
  <si>
    <t>B资产</t>
  </si>
  <si>
    <t>备注</t>
  </si>
  <si>
    <t>账户输入与拆分</t>
  </si>
  <si>
    <t>项目</t>
  </si>
  <si>
    <t>金额/比例</t>
  </si>
  <si>
    <t>输入类型</t>
  </si>
  <si>
    <t>初始总值</t>
  </si>
  <si>
    <t>账户初始值</t>
  </si>
  <si>
    <t>输入</t>
  </si>
  <si>
    <t>A初始值</t>
  </si>
  <si>
    <t>A账户初始资金</t>
  </si>
  <si>
    <t>B初始值</t>
  </si>
  <si>
    <t>B账户初始资金</t>
  </si>
  <si>
    <t>当前账户总净值</t>
  </si>
  <si>
    <t>A初始占比</t>
  </si>
  <si>
    <t>A初始值 / 初始总值</t>
  </si>
  <si>
    <t>公式</t>
  </si>
  <si>
    <t>当前总净值 * A初始占比</t>
  </si>
  <si>
    <t>当前总净值 - A当前估算</t>
  </si>
  <si>
    <t>当前累计盈亏</t>
  </si>
  <si>
    <t>当前总净值 - 初始总值</t>
  </si>
  <si>
    <t>当前收益率</t>
  </si>
  <si>
    <t>当前累计盈亏 / 初始总值</t>
  </si>
  <si>
    <t>A当前追加转入金额</t>
  </si>
  <si>
    <t>当前总净值 + A追加转入</t>
  </si>
  <si>
    <t>A当前估算净值 + A追加转入</t>
  </si>
  <si>
    <t>A转入后资产 / 转入后总资产</t>
  </si>
  <si>
    <t>B转入后资产 / 转入后总资产</t>
  </si>
  <si>
    <t>后续收益与市值情景分析</t>
  </si>
  <si>
    <t>目标收益倒推</t>
  </si>
  <si>
    <t>总盈亏</t>
  </si>
  <si>
    <t>A占比</t>
  </si>
  <si>
    <t>B占比</t>
  </si>
  <si>
    <t>目标总收益率</t>
  </si>
  <si>
    <t>目标市值</t>
  </si>
  <si>
    <t>所需增量市值</t>
  </si>
  <si>
    <t>A目标资产</t>
  </si>
  <si>
    <t>B目标资产</t>
  </si>
  <si>
    <t>资金流水和净值跟踪</t>
  </si>
  <si>
    <t>日期</t>
  </si>
  <si>
    <t>账户</t>
  </si>
  <si>
    <t>动作</t>
  </si>
  <si>
    <t>现金流</t>
  </si>
  <si>
    <t>期末市值</t>
  </si>
  <si>
    <t>净投入累计</t>
  </si>
  <si>
    <t>组合</t>
  </si>
  <si>
    <t>初始投入</t>
  </si>
  <si>
    <t>当前净值记录</t>
  </si>
  <si>
    <t>A</t>
  </si>
  <si>
    <t>追加转入</t>
  </si>
  <si>
    <t>来源、假设与使用说明</t>
  </si>
  <si>
    <t>模型检查</t>
  </si>
  <si>
    <t>值</t>
  </si>
  <si>
    <t>来源/说明</t>
  </si>
  <si>
    <t>可编辑</t>
  </si>
  <si>
    <t>检查项</t>
  </si>
  <si>
    <t>实际</t>
  </si>
  <si>
    <t>预期</t>
  </si>
  <si>
    <t>差异</t>
  </si>
  <si>
    <t>状态</t>
  </si>
  <si>
    <t>用户提供：账户初始值</t>
  </si>
  <si>
    <t>是</t>
  </si>
  <si>
    <t>A+B初始值=初始总值</t>
  </si>
  <si>
    <t>用户提供：A占25000000</t>
  </si>
  <si>
    <t>A+B转入后资产=转入后总资产</t>
  </si>
  <si>
    <t>用户提供：B占2500000</t>
  </si>
  <si>
    <t>A+B转入后占比=100%</t>
  </si>
  <si>
    <t>用户提供：目前净值20683829</t>
  </si>
  <si>
    <t>Dashboard总资产=Accounts总资产</t>
  </si>
  <si>
    <t>用户提供：A当前再转入50000000</t>
  </si>
  <si>
    <t>当前A/B拆分</t>
  </si>
  <si>
    <t>按初始占比分摊</t>
  </si>
  <si>
    <t>如果有真实A/B当前值，可在 Accounts 直接替换 A当前估算/B当前估算的逻辑</t>
  </si>
  <si>
    <t>可改</t>
  </si>
  <si>
    <t>模型单位</t>
  </si>
  <si>
    <t>人民币元</t>
  </si>
  <si>
    <t>所有金额为元，显示为人民币</t>
  </si>
  <si>
    <t>否</t>
  </si>
  <si>
    <t>情景变量</t>
  </si>
  <si>
    <t>Scenarios 中可修改收益率行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</si>
</sst>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[Red]\(\¥#,##0\);\-"/>
    <numFmt numFmtId="177" formatCode="0.00%;[Red]\(0.00%\);\-"/>
    <numFmt numFmtId="178" formatCode="yyyy\-mm\-dd"/>
  </numFmts>
  <fonts count="27">
    <font>
      <sz val="11"/>
      <name val="Carlito"/>
      <charset val="134"/>
    </font>
    <font>
      <b/>
      <sz val="12"/>
      <color rgb="FFFFFFFF"/>
      <name val="Carlito"/>
      <charset val="134"/>
    </font>
    <font>
      <b/>
      <sz val="11"/>
      <name val="Carlito"/>
      <charset val="134"/>
    </font>
    <font>
      <sz val="11"/>
      <color rgb="FF0000FF"/>
      <name val="Carlito"/>
      <charset val="134"/>
    </font>
    <font>
      <sz val="11"/>
      <color rgb="FF000000"/>
      <name val="Carlito"/>
      <charset val="134"/>
    </font>
    <font>
      <b/>
      <sz val="11"/>
      <color rgb="FF000000"/>
      <name val="Carlito"/>
      <charset val="134"/>
    </font>
    <font>
      <b/>
      <sz val="11"/>
      <color rgb="FF0000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1" xfId="49" applyNumberFormat="1" applyFont="1" applyFill="1" applyBorder="1" applyAlignment="1">
      <alignment horizontal="left"/>
    </xf>
    <xf numFmtId="0" fontId="1" fillId="2" borderId="2" xfId="49" applyNumberFormat="1" applyFont="1" applyFill="1" applyBorder="1" applyAlignment="1">
      <alignment horizontal="left"/>
    </xf>
    <xf numFmtId="0" fontId="1" fillId="2" borderId="3" xfId="49" applyNumberFormat="1" applyFont="1" applyFill="1" applyBorder="1" applyAlignment="1">
      <alignment horizontal="left"/>
    </xf>
    <xf numFmtId="0" fontId="2" fillId="3" borderId="4" xfId="49" applyNumberFormat="1" applyFont="1" applyFill="1" applyBorder="1" applyAlignment="1">
      <alignment horizontal="center"/>
    </xf>
    <xf numFmtId="0" fontId="0" fillId="0" borderId="5" xfId="49" applyNumberFormat="1" applyFont="1" applyFill="1" applyBorder="1" applyAlignment="1">
      <alignment vertical="top" wrapText="1"/>
    </xf>
    <xf numFmtId="176" fontId="0" fillId="0" borderId="5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/>
    <xf numFmtId="176" fontId="0" fillId="0" borderId="5" xfId="49" applyNumberFormat="1" applyFont="1" applyFill="1" applyBorder="1"/>
    <xf numFmtId="177" fontId="0" fillId="0" borderId="5" xfId="49" applyNumberFormat="1" applyFont="1" applyFill="1" applyBorder="1"/>
    <xf numFmtId="178" fontId="0" fillId="0" borderId="5" xfId="49" applyNumberFormat="1" applyFont="1" applyFill="1" applyBorder="1"/>
    <xf numFmtId="176" fontId="3" fillId="0" borderId="5" xfId="49" applyNumberFormat="1" applyFont="1" applyFill="1" applyBorder="1"/>
    <xf numFmtId="0" fontId="0" fillId="0" borderId="6" xfId="49" applyNumberFormat="1" applyFont="1" applyFill="1" applyBorder="1"/>
    <xf numFmtId="176" fontId="3" fillId="0" borderId="6" xfId="49" applyNumberFormat="1" applyFont="1" applyFill="1" applyBorder="1"/>
    <xf numFmtId="177" fontId="4" fillId="0" borderId="6" xfId="49" applyNumberFormat="1" applyFont="1" applyFill="1" applyBorder="1"/>
    <xf numFmtId="176" fontId="4" fillId="0" borderId="6" xfId="49" applyNumberFormat="1" applyFont="1" applyFill="1" applyBorder="1"/>
    <xf numFmtId="176" fontId="3" fillId="4" borderId="6" xfId="49" applyNumberFormat="1" applyFont="1" applyFill="1" applyBorder="1"/>
    <xf numFmtId="176" fontId="5" fillId="0" borderId="6" xfId="49" applyNumberFormat="1" applyFont="1" applyFill="1" applyBorder="1"/>
    <xf numFmtId="176" fontId="2" fillId="0" borderId="6" xfId="49" applyNumberFormat="1" applyFont="1" applyFill="1" applyBorder="1"/>
    <xf numFmtId="177" fontId="2" fillId="0" borderId="6" xfId="49" applyNumberFormat="1" applyFont="1" applyFill="1" applyBorder="1"/>
    <xf numFmtId="176" fontId="6" fillId="4" borderId="6" xfId="49" applyNumberFormat="1" applyFont="1" applyFill="1" applyBorder="1"/>
    <xf numFmtId="176" fontId="0" fillId="0" borderId="6" xfId="49" applyNumberFormat="1" applyFont="1" applyFill="1" applyBorder="1"/>
    <xf numFmtId="177" fontId="0" fillId="0" borderId="6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workbookViewId="0">
      <selection activeCell="A1" sqref="A1:H1"/>
    </sheetView>
  </sheetViews>
  <sheetFormatPr defaultColWidth="9" defaultRowHeight="16.8" outlineLevelCol="7"/>
  <cols>
    <col min="1" max="2" width="18" customWidth="1"/>
    <col min="3" max="3" width="34" customWidth="1"/>
    <col min="5" max="6" width="18" customWidth="1"/>
    <col min="7" max="7" width="34" customWidth="1"/>
  </cols>
  <sheetData>
    <row r="1" ht="17.6" spans="1:8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3" t="s">
        <v>0</v>
      </c>
    </row>
    <row r="3" spans="1:8">
      <c r="A3" s="4" t="s">
        <v>1</v>
      </c>
      <c r="B3" s="4" t="s">
        <v>2</v>
      </c>
      <c r="C3" s="4" t="s">
        <v>3</v>
      </c>
      <c r="D3" s="4" t="s">
        <v>4</v>
      </c>
      <c r="E3" s="4" t="s">
        <v>1</v>
      </c>
      <c r="F3" s="4" t="s">
        <v>2</v>
      </c>
      <c r="G3" s="4" t="s">
        <v>3</v>
      </c>
      <c r="H3" s="4" t="s">
        <v>4</v>
      </c>
    </row>
    <row r="4" spans="1:7">
      <c r="A4" s="12" t="s">
        <v>5</v>
      </c>
      <c r="B4" s="17">
        <f>Accounts!B4</f>
        <v>27500000</v>
      </c>
      <c r="C4" s="12" t="s">
        <v>6</v>
      </c>
      <c r="E4" s="12" t="s">
        <v>7</v>
      </c>
      <c r="F4" s="21">
        <f>Accounts!B9</f>
        <v>18803480.9090909</v>
      </c>
      <c r="G4" s="12" t="s">
        <v>8</v>
      </c>
    </row>
    <row r="5" spans="1:7">
      <c r="A5" s="12" t="s">
        <v>9</v>
      </c>
      <c r="B5" s="17">
        <f>Accounts!B7</f>
        <v>20683829</v>
      </c>
      <c r="C5" s="12" t="s">
        <v>6</v>
      </c>
      <c r="E5" s="12" t="s">
        <v>10</v>
      </c>
      <c r="F5" s="21">
        <f>Accounts!B10</f>
        <v>1880348.09090909</v>
      </c>
      <c r="G5" s="12" t="s">
        <v>8</v>
      </c>
    </row>
    <row r="6" spans="1:7">
      <c r="A6" s="12" t="s">
        <v>11</v>
      </c>
      <c r="B6" s="18">
        <f>B5-B4</f>
        <v>-6816171</v>
      </c>
      <c r="C6" s="12" t="s">
        <v>12</v>
      </c>
      <c r="E6" s="12" t="s">
        <v>13</v>
      </c>
      <c r="F6" s="21">
        <f>Accounts!B16</f>
        <v>68803480.9090909</v>
      </c>
      <c r="G6" s="12" t="s">
        <v>14</v>
      </c>
    </row>
    <row r="7" spans="1:7">
      <c r="A7" s="12" t="s">
        <v>15</v>
      </c>
      <c r="B7" s="19">
        <f>IFERROR(B6/B4,0)</f>
        <v>-0.247860763636364</v>
      </c>
      <c r="C7" s="12" t="s">
        <v>16</v>
      </c>
      <c r="E7" s="12" t="s">
        <v>17</v>
      </c>
      <c r="F7" s="21">
        <f>Accounts!B17</f>
        <v>1880348.09090909</v>
      </c>
      <c r="G7" s="12" t="s">
        <v>18</v>
      </c>
    </row>
    <row r="8" spans="1:7">
      <c r="A8" s="12" t="s">
        <v>19</v>
      </c>
      <c r="B8" s="20">
        <f>Accounts!B13</f>
        <v>50000000</v>
      </c>
      <c r="C8" s="12" t="s">
        <v>6</v>
      </c>
      <c r="E8" s="12" t="s">
        <v>20</v>
      </c>
      <c r="F8" s="22">
        <f>Accounts!B18</f>
        <v>0.97339776130536</v>
      </c>
      <c r="G8" s="12" t="s">
        <v>21</v>
      </c>
    </row>
    <row r="9" spans="1:7">
      <c r="A9" s="12" t="s">
        <v>22</v>
      </c>
      <c r="B9" s="21">
        <f>B5+B8</f>
        <v>70683829</v>
      </c>
      <c r="C9" s="12" t="s">
        <v>23</v>
      </c>
      <c r="E9" s="12" t="s">
        <v>24</v>
      </c>
      <c r="F9" s="22">
        <f>Accounts!B19</f>
        <v>0.0266022386946396</v>
      </c>
      <c r="G9" s="12" t="s">
        <v>25</v>
      </c>
    </row>
    <row r="10" spans="1:7">
      <c r="A10" s="12" t="s">
        <v>26</v>
      </c>
      <c r="B10" s="21">
        <f>B4+B8</f>
        <v>77500000</v>
      </c>
      <c r="C10" s="12" t="s">
        <v>27</v>
      </c>
      <c r="E10" s="12" t="s">
        <v>28</v>
      </c>
      <c r="F10" s="22">
        <f>IFERROR(B10/B9-1,0)</f>
        <v>0.0964318302563942</v>
      </c>
      <c r="G10" s="12" t="s">
        <v>29</v>
      </c>
    </row>
    <row r="11" spans="1:7">
      <c r="A11" s="12" t="s">
        <v>30</v>
      </c>
      <c r="B11" s="21">
        <f>B9-B10</f>
        <v>-6816171</v>
      </c>
      <c r="C11" s="12" t="s">
        <v>31</v>
      </c>
      <c r="E11" s="12" t="s">
        <v>32</v>
      </c>
      <c r="F11" s="21">
        <f>B10*(1+10%)</f>
        <v>85250000</v>
      </c>
      <c r="G11" s="12" t="s">
        <v>33</v>
      </c>
    </row>
    <row r="12" spans="1:7">
      <c r="A12" s="12" t="s">
        <v>34</v>
      </c>
      <c r="B12" s="22">
        <f>IFERROR(B11/B10,0)</f>
        <v>-0.0879505935483871</v>
      </c>
      <c r="C12" s="12" t="s">
        <v>35</v>
      </c>
      <c r="E12" s="12" t="s">
        <v>36</v>
      </c>
      <c r="F12" s="21">
        <f>B10*(1+20%)</f>
        <v>93000000</v>
      </c>
      <c r="G12" s="12" t="s">
        <v>37</v>
      </c>
    </row>
    <row r="15" ht="17.6" spans="1:8">
      <c r="A15" s="1" t="s">
        <v>38</v>
      </c>
      <c r="B15" s="2" t="s">
        <v>38</v>
      </c>
      <c r="C15" s="2" t="s">
        <v>38</v>
      </c>
      <c r="D15" s="2" t="s">
        <v>38</v>
      </c>
      <c r="E15" s="2" t="s">
        <v>38</v>
      </c>
      <c r="F15" s="2" t="s">
        <v>38</v>
      </c>
      <c r="G15" s="2" t="s">
        <v>38</v>
      </c>
      <c r="H15" s="3" t="s">
        <v>38</v>
      </c>
    </row>
    <row r="16" spans="1:8">
      <c r="A16" s="4" t="s">
        <v>39</v>
      </c>
      <c r="B16" s="4" t="s">
        <v>40</v>
      </c>
      <c r="C16" s="4" t="s">
        <v>41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</v>
      </c>
    </row>
    <row r="17" spans="1:7">
      <c r="A17" s="9">
        <v>-0.3</v>
      </c>
      <c r="B17" s="8">
        <f t="shared" ref="B17:B25" si="0">$B$9*(1+A17)</f>
        <v>49478680.3</v>
      </c>
      <c r="C17" s="8">
        <f t="shared" ref="C17:C25" si="1">B17-$B$10</f>
        <v>-28021319.7</v>
      </c>
      <c r="D17" s="9">
        <f t="shared" ref="D17:D25" si="2">IFERROR(C17/$B$10,0)</f>
        <v>-0.361565415483871</v>
      </c>
      <c r="E17" s="8">
        <f t="shared" ref="E17:E25" si="3">$F$6*(1+A17)</f>
        <v>48162436.6363636</v>
      </c>
      <c r="F17" s="8">
        <f t="shared" ref="F17:F25" si="4">$F$7*(1+A17)</f>
        <v>1316243.66363636</v>
      </c>
      <c r="G17" s="7" t="str">
        <f t="shared" ref="G17:G25" si="5">IF(A17&lt;0,"回撤情景",IF(A17=0,"转入后基准","盈利情景"))</f>
        <v>回撤情景</v>
      </c>
    </row>
    <row r="18" spans="1:7">
      <c r="A18" s="9">
        <v>-0.2</v>
      </c>
      <c r="B18" s="8">
        <f t="shared" si="0"/>
        <v>56547063.2</v>
      </c>
      <c r="C18" s="8">
        <f t="shared" si="1"/>
        <v>-20952936.8</v>
      </c>
      <c r="D18" s="9">
        <f t="shared" si="2"/>
        <v>-0.27036047483871</v>
      </c>
      <c r="E18" s="8">
        <f t="shared" si="3"/>
        <v>55042784.7272727</v>
      </c>
      <c r="F18" s="8">
        <f t="shared" si="4"/>
        <v>1504278.47272727</v>
      </c>
      <c r="G18" s="7" t="str">
        <f t="shared" si="5"/>
        <v>回撤情景</v>
      </c>
    </row>
    <row r="19" spans="1:7">
      <c r="A19" s="9">
        <v>-0.1</v>
      </c>
      <c r="B19" s="8">
        <f t="shared" si="0"/>
        <v>63615446.1</v>
      </c>
      <c r="C19" s="8">
        <f t="shared" si="1"/>
        <v>-13884553.9</v>
      </c>
      <c r="D19" s="9">
        <f t="shared" si="2"/>
        <v>-0.179155534193548</v>
      </c>
      <c r="E19" s="8">
        <f t="shared" si="3"/>
        <v>61923132.8181818</v>
      </c>
      <c r="F19" s="8">
        <f t="shared" si="4"/>
        <v>1692313.28181818</v>
      </c>
      <c r="G19" s="7" t="str">
        <f t="shared" si="5"/>
        <v>回撤情景</v>
      </c>
    </row>
    <row r="20" spans="1:7">
      <c r="A20" s="9">
        <v>0</v>
      </c>
      <c r="B20" s="8">
        <f t="shared" si="0"/>
        <v>70683829</v>
      </c>
      <c r="C20" s="8">
        <f t="shared" si="1"/>
        <v>-6816171</v>
      </c>
      <c r="D20" s="9">
        <f t="shared" si="2"/>
        <v>-0.0879505935483871</v>
      </c>
      <c r="E20" s="8">
        <f t="shared" si="3"/>
        <v>68803480.9090909</v>
      </c>
      <c r="F20" s="8">
        <f t="shared" si="4"/>
        <v>1880348.09090909</v>
      </c>
      <c r="G20" s="7" t="str">
        <f t="shared" si="5"/>
        <v>转入后基准</v>
      </c>
    </row>
    <row r="21" spans="1:7">
      <c r="A21" s="9">
        <v>0.1</v>
      </c>
      <c r="B21" s="8">
        <f t="shared" si="0"/>
        <v>77752211.9</v>
      </c>
      <c r="C21" s="8">
        <f t="shared" si="1"/>
        <v>252211.900000006</v>
      </c>
      <c r="D21" s="9">
        <f t="shared" si="2"/>
        <v>0.00325434709677427</v>
      </c>
      <c r="E21" s="8">
        <f t="shared" si="3"/>
        <v>75683829</v>
      </c>
      <c r="F21" s="8">
        <f t="shared" si="4"/>
        <v>2068382.9</v>
      </c>
      <c r="G21" s="7" t="str">
        <f t="shared" si="5"/>
        <v>盈利情景</v>
      </c>
    </row>
    <row r="22" spans="1:7">
      <c r="A22" s="9">
        <v>0.2</v>
      </c>
      <c r="B22" s="8">
        <f t="shared" si="0"/>
        <v>84820594.8</v>
      </c>
      <c r="C22" s="8">
        <f t="shared" si="1"/>
        <v>7320594.8</v>
      </c>
      <c r="D22" s="9">
        <f t="shared" si="2"/>
        <v>0.0944592877419354</v>
      </c>
      <c r="E22" s="8">
        <f t="shared" si="3"/>
        <v>82564177.0909091</v>
      </c>
      <c r="F22" s="8">
        <f t="shared" si="4"/>
        <v>2256417.70909091</v>
      </c>
      <c r="G22" s="7" t="str">
        <f t="shared" si="5"/>
        <v>盈利情景</v>
      </c>
    </row>
    <row r="23" spans="1:7">
      <c r="A23" s="9">
        <v>0.3</v>
      </c>
      <c r="B23" s="8">
        <f t="shared" si="0"/>
        <v>91888977.7</v>
      </c>
      <c r="C23" s="8">
        <f t="shared" si="1"/>
        <v>14388977.7</v>
      </c>
      <c r="D23" s="9">
        <f t="shared" si="2"/>
        <v>0.185664228387097</v>
      </c>
      <c r="E23" s="8">
        <f t="shared" si="3"/>
        <v>89444525.1818182</v>
      </c>
      <c r="F23" s="8">
        <f t="shared" si="4"/>
        <v>2444452.51818182</v>
      </c>
      <c r="G23" s="7" t="str">
        <f t="shared" si="5"/>
        <v>盈利情景</v>
      </c>
    </row>
    <row r="24" spans="1:7">
      <c r="A24" s="9">
        <v>0.5</v>
      </c>
      <c r="B24" s="8">
        <f t="shared" si="0"/>
        <v>106025743.5</v>
      </c>
      <c r="C24" s="8">
        <f t="shared" si="1"/>
        <v>28525743.5</v>
      </c>
      <c r="D24" s="9">
        <f t="shared" si="2"/>
        <v>0.368074109677419</v>
      </c>
      <c r="E24" s="8">
        <f t="shared" si="3"/>
        <v>103205221.363636</v>
      </c>
      <c r="F24" s="8">
        <f t="shared" si="4"/>
        <v>2820522.13636363</v>
      </c>
      <c r="G24" s="7" t="str">
        <f t="shared" si="5"/>
        <v>盈利情景</v>
      </c>
    </row>
    <row r="25" spans="1:7">
      <c r="A25" s="9">
        <v>1</v>
      </c>
      <c r="B25" s="8">
        <f t="shared" si="0"/>
        <v>141367658</v>
      </c>
      <c r="C25" s="8">
        <f t="shared" si="1"/>
        <v>63867658</v>
      </c>
      <c r="D25" s="9">
        <f t="shared" si="2"/>
        <v>0.824098812903226</v>
      </c>
      <c r="E25" s="8">
        <f t="shared" si="3"/>
        <v>137606961.818182</v>
      </c>
      <c r="F25" s="8">
        <f t="shared" si="4"/>
        <v>3760696.18181818</v>
      </c>
      <c r="G25" s="7" t="str">
        <f t="shared" si="5"/>
        <v>盈利情景</v>
      </c>
    </row>
  </sheetData>
  <mergeCells count="2">
    <mergeCell ref="A1:H1"/>
    <mergeCell ref="A15:H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tabSelected="1" workbookViewId="0">
      <selection activeCell="N14" sqref="N14"/>
    </sheetView>
  </sheetViews>
  <sheetFormatPr defaultColWidth="9" defaultRowHeight="16.8" outlineLevelCol="5"/>
  <cols>
    <col min="1" max="1" width="20" customWidth="1"/>
    <col min="2" max="2" width="18" customWidth="1"/>
    <col min="3" max="3" width="42" customWidth="1"/>
    <col min="4" max="4" width="14" customWidth="1"/>
  </cols>
  <sheetData>
    <row r="1" ht="17.6" spans="1:6">
      <c r="A1" s="1" t="s">
        <v>46</v>
      </c>
      <c r="B1" s="2" t="s">
        <v>46</v>
      </c>
      <c r="C1" s="2" t="s">
        <v>46</v>
      </c>
      <c r="D1" s="2" t="s">
        <v>46</v>
      </c>
      <c r="E1" s="2" t="s">
        <v>46</v>
      </c>
      <c r="F1" s="3" t="s">
        <v>46</v>
      </c>
    </row>
    <row r="3" spans="1:4">
      <c r="A3" s="4" t="s">
        <v>47</v>
      </c>
      <c r="B3" s="4" t="s">
        <v>48</v>
      </c>
      <c r="C3" s="4" t="s">
        <v>3</v>
      </c>
      <c r="D3" s="4" t="s">
        <v>49</v>
      </c>
    </row>
    <row r="4" spans="1:4">
      <c r="A4" s="12" t="s">
        <v>50</v>
      </c>
      <c r="B4" s="13">
        <v>27500000</v>
      </c>
      <c r="C4" s="12" t="s">
        <v>51</v>
      </c>
      <c r="D4" s="12" t="s">
        <v>52</v>
      </c>
    </row>
    <row r="5" spans="1:4">
      <c r="A5" s="12" t="s">
        <v>53</v>
      </c>
      <c r="B5" s="13">
        <v>25000000</v>
      </c>
      <c r="C5" s="12" t="s">
        <v>54</v>
      </c>
      <c r="D5" s="12" t="s">
        <v>52</v>
      </c>
    </row>
    <row r="6" spans="1:4">
      <c r="A6" s="12" t="s">
        <v>55</v>
      </c>
      <c r="B6" s="13">
        <v>2500000</v>
      </c>
      <c r="C6" s="12" t="s">
        <v>56</v>
      </c>
      <c r="D6" s="12" t="s">
        <v>52</v>
      </c>
    </row>
    <row r="7" spans="1:4">
      <c r="A7" s="12" t="s">
        <v>9</v>
      </c>
      <c r="B7" s="13">
        <v>20683829</v>
      </c>
      <c r="C7" s="12" t="s">
        <v>57</v>
      </c>
      <c r="D7" s="12" t="s">
        <v>52</v>
      </c>
    </row>
    <row r="8" spans="1:4">
      <c r="A8" s="12" t="s">
        <v>58</v>
      </c>
      <c r="B8" s="14">
        <f>IFERROR(B5/B4,0)</f>
        <v>0.909090909090909</v>
      </c>
      <c r="C8" s="12" t="s">
        <v>59</v>
      </c>
      <c r="D8" s="12" t="s">
        <v>60</v>
      </c>
    </row>
    <row r="9" spans="1:4">
      <c r="A9" s="12" t="s">
        <v>7</v>
      </c>
      <c r="B9" s="15">
        <f>B7*B8</f>
        <v>18803480.9090909</v>
      </c>
      <c r="C9" s="12" t="s">
        <v>61</v>
      </c>
      <c r="D9" s="12" t="s">
        <v>60</v>
      </c>
    </row>
    <row r="10" spans="1:4">
      <c r="A10" s="12" t="s">
        <v>10</v>
      </c>
      <c r="B10" s="15">
        <f>B7-B9</f>
        <v>1880348.09090909</v>
      </c>
      <c r="C10" s="12" t="s">
        <v>62</v>
      </c>
      <c r="D10" s="12" t="s">
        <v>60</v>
      </c>
    </row>
    <row r="11" spans="1:4">
      <c r="A11" s="12" t="s">
        <v>63</v>
      </c>
      <c r="B11" s="15">
        <f>B7-B4</f>
        <v>-6816171</v>
      </c>
      <c r="C11" s="12" t="s">
        <v>64</v>
      </c>
      <c r="D11" s="12" t="s">
        <v>60</v>
      </c>
    </row>
    <row r="12" spans="1:4">
      <c r="A12" s="12" t="s">
        <v>65</v>
      </c>
      <c r="B12" s="14">
        <f>IFERROR(B11/B4,0)</f>
        <v>-0.247860763636364</v>
      </c>
      <c r="C12" s="12" t="s">
        <v>66</v>
      </c>
      <c r="D12" s="12" t="s">
        <v>60</v>
      </c>
    </row>
    <row r="13" spans="1:4">
      <c r="A13" s="12" t="s">
        <v>19</v>
      </c>
      <c r="B13" s="16">
        <v>50000000</v>
      </c>
      <c r="C13" s="12" t="s">
        <v>67</v>
      </c>
      <c r="D13" s="12" t="s">
        <v>52</v>
      </c>
    </row>
    <row r="14" spans="1:4">
      <c r="A14" s="12" t="s">
        <v>22</v>
      </c>
      <c r="B14" s="15">
        <f>B7+B13</f>
        <v>70683829</v>
      </c>
      <c r="C14" s="12" t="s">
        <v>68</v>
      </c>
      <c r="D14" s="12" t="s">
        <v>60</v>
      </c>
    </row>
    <row r="15" spans="1:4">
      <c r="A15" s="12" t="s">
        <v>26</v>
      </c>
      <c r="B15" s="15">
        <f>B4+B13</f>
        <v>77500000</v>
      </c>
      <c r="C15" s="12" t="s">
        <v>27</v>
      </c>
      <c r="D15" s="12" t="s">
        <v>60</v>
      </c>
    </row>
    <row r="16" spans="1:4">
      <c r="A16" s="12" t="s">
        <v>13</v>
      </c>
      <c r="B16" s="15">
        <f>B9+B13</f>
        <v>68803480.9090909</v>
      </c>
      <c r="C16" s="12" t="s">
        <v>69</v>
      </c>
      <c r="D16" s="12" t="s">
        <v>60</v>
      </c>
    </row>
    <row r="17" spans="1:4">
      <c r="A17" s="12" t="s">
        <v>17</v>
      </c>
      <c r="B17" s="15">
        <f>B10</f>
        <v>1880348.09090909</v>
      </c>
      <c r="C17" s="12" t="s">
        <v>10</v>
      </c>
      <c r="D17" s="12" t="s">
        <v>60</v>
      </c>
    </row>
    <row r="18" spans="1:4">
      <c r="A18" s="12" t="s">
        <v>20</v>
      </c>
      <c r="B18" s="14">
        <f>IFERROR(B16/B14,0)</f>
        <v>0.97339776130536</v>
      </c>
      <c r="C18" s="12" t="s">
        <v>70</v>
      </c>
      <c r="D18" s="12" t="s">
        <v>60</v>
      </c>
    </row>
    <row r="19" spans="1:4">
      <c r="A19" s="12" t="s">
        <v>24</v>
      </c>
      <c r="B19" s="14">
        <f>IFERROR(B17/B14,0)</f>
        <v>0.0266022386946396</v>
      </c>
      <c r="C19" s="12" t="s">
        <v>71</v>
      </c>
      <c r="D19" s="12" t="s">
        <v>60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workbookViewId="0">
      <selection activeCell="A1" sqref="A1:H1"/>
    </sheetView>
  </sheetViews>
  <sheetFormatPr defaultColWidth="9" defaultRowHeight="16.8"/>
  <cols>
    <col min="1" max="1" width="14" customWidth="1"/>
    <col min="2" max="3" width="18" customWidth="1"/>
    <col min="4" max="4" width="14" customWidth="1"/>
    <col min="5" max="6" width="18" customWidth="1"/>
    <col min="7" max="8" width="12" customWidth="1"/>
    <col min="10" max="10" width="16" customWidth="1"/>
    <col min="11" max="14" width="18" customWidth="1"/>
  </cols>
  <sheetData>
    <row r="1" ht="17.6" spans="1:14">
      <c r="A1" s="1" t="s">
        <v>72</v>
      </c>
      <c r="B1" s="2" t="s">
        <v>72</v>
      </c>
      <c r="C1" s="2" t="s">
        <v>72</v>
      </c>
      <c r="D1" s="2" t="s">
        <v>72</v>
      </c>
      <c r="E1" s="2" t="s">
        <v>72</v>
      </c>
      <c r="F1" s="2" t="s">
        <v>72</v>
      </c>
      <c r="G1" s="2" t="s">
        <v>72</v>
      </c>
      <c r="H1" s="3" t="s">
        <v>72</v>
      </c>
      <c r="J1" s="1" t="s">
        <v>73</v>
      </c>
      <c r="K1" s="2" t="s">
        <v>73</v>
      </c>
      <c r="L1" s="2" t="s">
        <v>73</v>
      </c>
      <c r="M1" s="2" t="s">
        <v>73</v>
      </c>
      <c r="N1" s="3" t="s">
        <v>73</v>
      </c>
    </row>
    <row r="3" spans="1:14">
      <c r="A3" s="4" t="s">
        <v>39</v>
      </c>
      <c r="B3" s="4" t="s">
        <v>40</v>
      </c>
      <c r="C3" s="4" t="s">
        <v>74</v>
      </c>
      <c r="D3" s="4" t="s">
        <v>42</v>
      </c>
      <c r="E3" s="4" t="s">
        <v>43</v>
      </c>
      <c r="F3" s="4" t="s">
        <v>44</v>
      </c>
      <c r="G3" s="4" t="s">
        <v>75</v>
      </c>
      <c r="H3" s="4" t="s">
        <v>76</v>
      </c>
      <c r="J3" s="4" t="s">
        <v>77</v>
      </c>
      <c r="K3" s="4" t="s">
        <v>78</v>
      </c>
      <c r="L3" s="4" t="s">
        <v>79</v>
      </c>
      <c r="M3" s="4" t="s">
        <v>80</v>
      </c>
      <c r="N3" s="4" t="s">
        <v>81</v>
      </c>
    </row>
    <row r="4" spans="1:14">
      <c r="A4" s="9">
        <v>-0.5</v>
      </c>
      <c r="B4" s="8">
        <f>Accounts!$B$14*(1+A4)</f>
        <v>35341914.5</v>
      </c>
      <c r="C4" s="8">
        <f>B4-Accounts!$B$15</f>
        <v>-42158085.5</v>
      </c>
      <c r="D4" s="9">
        <f>IFERROR(C4/Accounts!$B$15,0)</f>
        <v>-0.543975296774194</v>
      </c>
      <c r="E4" s="8">
        <f>Accounts!$B$16*(1+A4)</f>
        <v>34401740.4545455</v>
      </c>
      <c r="F4" s="8">
        <f>Accounts!$B$17*(1+A4)</f>
        <v>940174.045454545</v>
      </c>
      <c r="G4" s="9">
        <f t="shared" ref="G4:G18" si="0">IFERROR(E4/B4,0)</f>
        <v>0.97339776130536</v>
      </c>
      <c r="H4" s="9">
        <f t="shared" ref="H4:H18" si="1">IFERROR(F4/B4,0)</f>
        <v>0.0266022386946396</v>
      </c>
      <c r="J4" s="9">
        <v>0</v>
      </c>
      <c r="K4" s="8">
        <f>Accounts!$B$15*(1+J4)</f>
        <v>77500000</v>
      </c>
      <c r="L4" s="8">
        <f>K4-Accounts!$B$14</f>
        <v>6816171</v>
      </c>
      <c r="M4" s="8">
        <f>K4*Accounts!$B$18</f>
        <v>75438326.5011654</v>
      </c>
      <c r="N4" s="8">
        <f>K4*Accounts!$B$19</f>
        <v>2061673.49883457</v>
      </c>
    </row>
    <row r="5" spans="1:14">
      <c r="A5" s="9">
        <v>-0.4</v>
      </c>
      <c r="B5" s="8">
        <f>Accounts!$B$14*(1+A5)</f>
        <v>42410297.4</v>
      </c>
      <c r="C5" s="8">
        <f>B5-Accounts!$B$15</f>
        <v>-35089702.6</v>
      </c>
      <c r="D5" s="9">
        <f>IFERROR(C5/Accounts!$B$15,0)</f>
        <v>-0.452770356129032</v>
      </c>
      <c r="E5" s="8">
        <f>Accounts!$B$16*(1+A5)</f>
        <v>41282088.5454545</v>
      </c>
      <c r="F5" s="8">
        <f>Accounts!$B$17*(1+A5)</f>
        <v>1128208.85454545</v>
      </c>
      <c r="G5" s="9">
        <f t="shared" si="0"/>
        <v>0.97339776130536</v>
      </c>
      <c r="H5" s="9">
        <f t="shared" si="1"/>
        <v>0.0266022386946396</v>
      </c>
      <c r="J5" s="9">
        <v>0.05</v>
      </c>
      <c r="K5" s="8">
        <f>Accounts!$B$15*(1+J5)</f>
        <v>81375000</v>
      </c>
      <c r="L5" s="8">
        <f>K5-Accounts!$B$14</f>
        <v>10691171</v>
      </c>
      <c r="M5" s="8">
        <f>K5*Accounts!$B$18</f>
        <v>79210242.8262237</v>
      </c>
      <c r="N5" s="8">
        <f>K5*Accounts!$B$19</f>
        <v>2164757.1737763</v>
      </c>
    </row>
    <row r="6" spans="1:14">
      <c r="A6" s="9">
        <v>-0.3</v>
      </c>
      <c r="B6" s="8">
        <f>Accounts!$B$14*(1+A6)</f>
        <v>49478680.3</v>
      </c>
      <c r="C6" s="8">
        <f>B6-Accounts!$B$15</f>
        <v>-28021319.7</v>
      </c>
      <c r="D6" s="9">
        <f>IFERROR(C6/Accounts!$B$15,0)</f>
        <v>-0.361565415483871</v>
      </c>
      <c r="E6" s="8">
        <f>Accounts!$B$16*(1+A6)</f>
        <v>48162436.6363636</v>
      </c>
      <c r="F6" s="8">
        <f>Accounts!$B$17*(1+A6)</f>
        <v>1316243.66363636</v>
      </c>
      <c r="G6" s="9">
        <f t="shared" si="0"/>
        <v>0.97339776130536</v>
      </c>
      <c r="H6" s="9">
        <f t="shared" si="1"/>
        <v>0.0266022386946396</v>
      </c>
      <c r="J6" s="9">
        <v>0.1</v>
      </c>
      <c r="K6" s="8">
        <f>Accounts!$B$15*(1+J6)</f>
        <v>85250000</v>
      </c>
      <c r="L6" s="8">
        <f>K6-Accounts!$B$14</f>
        <v>14566171</v>
      </c>
      <c r="M6" s="8">
        <f>K6*Accounts!$B$18</f>
        <v>82982159.151282</v>
      </c>
      <c r="N6" s="8">
        <f>K6*Accounts!$B$19</f>
        <v>2267840.84871803</v>
      </c>
    </row>
    <row r="7" spans="1:14">
      <c r="A7" s="9">
        <v>-0.2</v>
      </c>
      <c r="B7" s="8">
        <f>Accounts!$B$14*(1+A7)</f>
        <v>56547063.2</v>
      </c>
      <c r="C7" s="8">
        <f>B7-Accounts!$B$15</f>
        <v>-20952936.8</v>
      </c>
      <c r="D7" s="9">
        <f>IFERROR(C7/Accounts!$B$15,0)</f>
        <v>-0.27036047483871</v>
      </c>
      <c r="E7" s="8">
        <f>Accounts!$B$16*(1+A7)</f>
        <v>55042784.7272727</v>
      </c>
      <c r="F7" s="8">
        <f>Accounts!$B$17*(1+A7)</f>
        <v>1504278.47272727</v>
      </c>
      <c r="G7" s="9">
        <f t="shared" si="0"/>
        <v>0.97339776130536</v>
      </c>
      <c r="H7" s="9">
        <f t="shared" si="1"/>
        <v>0.0266022386946396</v>
      </c>
      <c r="J7" s="9">
        <v>0.2</v>
      </c>
      <c r="K7" s="8">
        <f>Accounts!$B$15*(1+J7)</f>
        <v>93000000</v>
      </c>
      <c r="L7" s="8">
        <f>K7-Accounts!$B$14</f>
        <v>22316171</v>
      </c>
      <c r="M7" s="8">
        <f>K7*Accounts!$B$18</f>
        <v>90525991.8013985</v>
      </c>
      <c r="N7" s="8">
        <f>K7*Accounts!$B$19</f>
        <v>2474008.19860148</v>
      </c>
    </row>
    <row r="8" spans="1:14">
      <c r="A8" s="9">
        <v>-0.1</v>
      </c>
      <c r="B8" s="8">
        <f>Accounts!$B$14*(1+A8)</f>
        <v>63615446.1</v>
      </c>
      <c r="C8" s="8">
        <f>B8-Accounts!$B$15</f>
        <v>-13884553.9</v>
      </c>
      <c r="D8" s="9">
        <f>IFERROR(C8/Accounts!$B$15,0)</f>
        <v>-0.179155534193548</v>
      </c>
      <c r="E8" s="8">
        <f>Accounts!$B$16*(1+A8)</f>
        <v>61923132.8181818</v>
      </c>
      <c r="F8" s="8">
        <f>Accounts!$B$17*(1+A8)</f>
        <v>1692313.28181818</v>
      </c>
      <c r="G8" s="9">
        <f t="shared" si="0"/>
        <v>0.97339776130536</v>
      </c>
      <c r="H8" s="9">
        <f t="shared" si="1"/>
        <v>0.0266022386946396</v>
      </c>
      <c r="J8" s="9">
        <v>0.3</v>
      </c>
      <c r="K8" s="8">
        <f>Accounts!$B$15*(1+J8)</f>
        <v>100750000</v>
      </c>
      <c r="L8" s="8">
        <f>K8-Accounts!$B$14</f>
        <v>30066171</v>
      </c>
      <c r="M8" s="8">
        <f>K8*Accounts!$B$18</f>
        <v>98069824.4515151</v>
      </c>
      <c r="N8" s="8">
        <f>K8*Accounts!$B$19</f>
        <v>2680175.54848494</v>
      </c>
    </row>
    <row r="9" spans="1:14">
      <c r="A9" s="9">
        <v>0</v>
      </c>
      <c r="B9" s="8">
        <f>Accounts!$B$14*(1+A9)</f>
        <v>70683829</v>
      </c>
      <c r="C9" s="8">
        <f>B9-Accounts!$B$15</f>
        <v>-6816171</v>
      </c>
      <c r="D9" s="9">
        <f>IFERROR(C9/Accounts!$B$15,0)</f>
        <v>-0.0879505935483871</v>
      </c>
      <c r="E9" s="8">
        <f>Accounts!$B$16*(1+A9)</f>
        <v>68803480.9090909</v>
      </c>
      <c r="F9" s="8">
        <f>Accounts!$B$17*(1+A9)</f>
        <v>1880348.09090909</v>
      </c>
      <c r="G9" s="9">
        <f t="shared" si="0"/>
        <v>0.97339776130536</v>
      </c>
      <c r="H9" s="9">
        <f t="shared" si="1"/>
        <v>0.0266022386946396</v>
      </c>
      <c r="J9" s="9">
        <v>0.5</v>
      </c>
      <c r="K9" s="8">
        <f>Accounts!$B$15*(1+J9)</f>
        <v>116250000</v>
      </c>
      <c r="L9" s="8">
        <f>K9-Accounts!$B$14</f>
        <v>45566171</v>
      </c>
      <c r="M9" s="8">
        <f>K9*Accounts!$B$18</f>
        <v>113157489.751748</v>
      </c>
      <c r="N9" s="8">
        <f>K9*Accounts!$B$19</f>
        <v>3092510.24825186</v>
      </c>
    </row>
    <row r="10" spans="1:8">
      <c r="A10" s="9">
        <v>0.05</v>
      </c>
      <c r="B10" s="8">
        <f>Accounts!$B$14*(1+A10)</f>
        <v>74218020.45</v>
      </c>
      <c r="C10" s="8">
        <f>B10-Accounts!$B$15</f>
        <v>-3281979.55</v>
      </c>
      <c r="D10" s="9">
        <f>IFERROR(C10/Accounts!$B$15,0)</f>
        <v>-0.0423481232258064</v>
      </c>
      <c r="E10" s="8">
        <f>Accounts!$B$16*(1+A10)</f>
        <v>72243654.9545455</v>
      </c>
      <c r="F10" s="8">
        <f>Accounts!$B$17*(1+A10)</f>
        <v>1974365.49545454</v>
      </c>
      <c r="G10" s="9">
        <f t="shared" si="0"/>
        <v>0.97339776130536</v>
      </c>
      <c r="H10" s="9">
        <f t="shared" si="1"/>
        <v>0.0266022386946396</v>
      </c>
    </row>
    <row r="11" spans="1:8">
      <c r="A11" s="9">
        <v>0.1</v>
      </c>
      <c r="B11" s="8">
        <f>Accounts!$B$14*(1+A11)</f>
        <v>77752211.9</v>
      </c>
      <c r="C11" s="8">
        <f>B11-Accounts!$B$15</f>
        <v>252211.900000006</v>
      </c>
      <c r="D11" s="9">
        <f>IFERROR(C11/Accounts!$B$15,0)</f>
        <v>0.00325434709677427</v>
      </c>
      <c r="E11" s="8">
        <f>Accounts!$B$16*(1+A11)</f>
        <v>75683829</v>
      </c>
      <c r="F11" s="8">
        <f>Accounts!$B$17*(1+A11)</f>
        <v>2068382.9</v>
      </c>
      <c r="G11" s="9">
        <f t="shared" si="0"/>
        <v>0.97339776130536</v>
      </c>
      <c r="H11" s="9">
        <f t="shared" si="1"/>
        <v>0.0266022386946396</v>
      </c>
    </row>
    <row r="12" spans="1:8">
      <c r="A12" s="9">
        <v>0.2</v>
      </c>
      <c r="B12" s="8">
        <f>Accounts!$B$14*(1+A12)</f>
        <v>84820594.8</v>
      </c>
      <c r="C12" s="8">
        <f>B12-Accounts!$B$15</f>
        <v>7320594.8</v>
      </c>
      <c r="D12" s="9">
        <f>IFERROR(C12/Accounts!$B$15,0)</f>
        <v>0.0944592877419354</v>
      </c>
      <c r="E12" s="8">
        <f>Accounts!$B$16*(1+A12)</f>
        <v>82564177.0909091</v>
      </c>
      <c r="F12" s="8">
        <f>Accounts!$B$17*(1+A12)</f>
        <v>2256417.70909091</v>
      </c>
      <c r="G12" s="9">
        <f t="shared" si="0"/>
        <v>0.97339776130536</v>
      </c>
      <c r="H12" s="9">
        <f t="shared" si="1"/>
        <v>0.0266022386946396</v>
      </c>
    </row>
    <row r="13" spans="1:8">
      <c r="A13" s="9">
        <v>0.3</v>
      </c>
      <c r="B13" s="8">
        <f>Accounts!$B$14*(1+A13)</f>
        <v>91888977.7</v>
      </c>
      <c r="C13" s="8">
        <f>B13-Accounts!$B$15</f>
        <v>14388977.7</v>
      </c>
      <c r="D13" s="9">
        <f>IFERROR(C13/Accounts!$B$15,0)</f>
        <v>0.185664228387097</v>
      </c>
      <c r="E13" s="8">
        <f>Accounts!$B$16*(1+A13)</f>
        <v>89444525.1818182</v>
      </c>
      <c r="F13" s="8">
        <f>Accounts!$B$17*(1+A13)</f>
        <v>2444452.51818182</v>
      </c>
      <c r="G13" s="9">
        <f t="shared" si="0"/>
        <v>0.97339776130536</v>
      </c>
      <c r="H13" s="9">
        <f t="shared" si="1"/>
        <v>0.0266022386946396</v>
      </c>
    </row>
    <row r="14" spans="1:8">
      <c r="A14" s="9">
        <v>0.5</v>
      </c>
      <c r="B14" s="8">
        <f>Accounts!$B$14*(1+A14)</f>
        <v>106025743.5</v>
      </c>
      <c r="C14" s="8">
        <f>B14-Accounts!$B$15</f>
        <v>28525743.5</v>
      </c>
      <c r="D14" s="9">
        <f>IFERROR(C14/Accounts!$B$15,0)</f>
        <v>0.368074109677419</v>
      </c>
      <c r="E14" s="8">
        <f>Accounts!$B$16*(1+A14)</f>
        <v>103205221.363636</v>
      </c>
      <c r="F14" s="8">
        <f>Accounts!$B$17*(1+A14)</f>
        <v>2820522.13636363</v>
      </c>
      <c r="G14" s="9">
        <f t="shared" si="0"/>
        <v>0.97339776130536</v>
      </c>
      <c r="H14" s="9">
        <f t="shared" si="1"/>
        <v>0.0266022386946396</v>
      </c>
    </row>
    <row r="15" spans="1:8">
      <c r="A15" s="9">
        <v>0.8</v>
      </c>
      <c r="B15" s="8">
        <f>Accounts!$B$14*(1+A15)</f>
        <v>127230892.2</v>
      </c>
      <c r="C15" s="8">
        <f>B15-Accounts!$B$15</f>
        <v>49730892.2</v>
      </c>
      <c r="D15" s="9">
        <f>IFERROR(C15/Accounts!$B$15,0)</f>
        <v>0.641688931612903</v>
      </c>
      <c r="E15" s="8">
        <f>Accounts!$B$16*(1+A15)</f>
        <v>123846265.636364</v>
      </c>
      <c r="F15" s="8">
        <f>Accounts!$B$17*(1+A15)</f>
        <v>3384626.56363636</v>
      </c>
      <c r="G15" s="9">
        <f t="shared" si="0"/>
        <v>0.97339776130536</v>
      </c>
      <c r="H15" s="9">
        <f t="shared" si="1"/>
        <v>0.0266022386946396</v>
      </c>
    </row>
    <row r="16" spans="1:8">
      <c r="A16" s="9">
        <v>1</v>
      </c>
      <c r="B16" s="8">
        <f>Accounts!$B$14*(1+A16)</f>
        <v>141367658</v>
      </c>
      <c r="C16" s="8">
        <f>B16-Accounts!$B$15</f>
        <v>63867658</v>
      </c>
      <c r="D16" s="9">
        <f>IFERROR(C16/Accounts!$B$15,0)</f>
        <v>0.824098812903226</v>
      </c>
      <c r="E16" s="8">
        <f>Accounts!$B$16*(1+A16)</f>
        <v>137606961.818182</v>
      </c>
      <c r="F16" s="8">
        <f>Accounts!$B$17*(1+A16)</f>
        <v>3760696.18181818</v>
      </c>
      <c r="G16" s="9">
        <f t="shared" si="0"/>
        <v>0.97339776130536</v>
      </c>
      <c r="H16" s="9">
        <f t="shared" si="1"/>
        <v>0.0266022386946396</v>
      </c>
    </row>
    <row r="17" spans="1:8">
      <c r="A17" s="9">
        <v>1.5</v>
      </c>
      <c r="B17" s="8">
        <f>Accounts!$B$14*(1+A17)</f>
        <v>176709572.5</v>
      </c>
      <c r="C17" s="8">
        <f>B17-Accounts!$B$15</f>
        <v>99209572.5</v>
      </c>
      <c r="D17" s="9">
        <f>IFERROR(C17/Accounts!$B$15,0)</f>
        <v>1.28012351612903</v>
      </c>
      <c r="E17" s="8">
        <f>Accounts!$B$16*(1+A17)</f>
        <v>172008702.272727</v>
      </c>
      <c r="F17" s="8">
        <f>Accounts!$B$17*(1+A17)</f>
        <v>4700870.22727272</v>
      </c>
      <c r="G17" s="9">
        <f t="shared" si="0"/>
        <v>0.97339776130536</v>
      </c>
      <c r="H17" s="9">
        <f t="shared" si="1"/>
        <v>0.0266022386946396</v>
      </c>
    </row>
    <row r="18" spans="1:8">
      <c r="A18" s="9">
        <v>2</v>
      </c>
      <c r="B18" s="8">
        <f>Accounts!$B$14*(1+A18)</f>
        <v>212051487</v>
      </c>
      <c r="C18" s="8">
        <f>B18-Accounts!$B$15</f>
        <v>134551487</v>
      </c>
      <c r="D18" s="9">
        <f>IFERROR(C18/Accounts!$B$15,0)</f>
        <v>1.73614821935484</v>
      </c>
      <c r="E18" s="8">
        <f>Accounts!$B$16*(1+A18)</f>
        <v>206410442.727273</v>
      </c>
      <c r="F18" s="8">
        <f>Accounts!$B$17*(1+A18)</f>
        <v>5641044.27272727</v>
      </c>
      <c r="G18" s="9">
        <f t="shared" si="0"/>
        <v>0.97339776130536</v>
      </c>
      <c r="H18" s="9">
        <f t="shared" si="1"/>
        <v>0.0266022386946396</v>
      </c>
    </row>
  </sheetData>
  <mergeCells count="2">
    <mergeCell ref="A1:H1"/>
    <mergeCell ref="J1:N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workbookViewId="0">
      <selection activeCell="A1" sqref="A1:H1"/>
    </sheetView>
  </sheetViews>
  <sheetFormatPr defaultColWidth="9" defaultRowHeight="16.8" outlineLevelCol="7"/>
  <cols>
    <col min="1" max="1" width="14" customWidth="1"/>
    <col min="2" max="2" width="12" customWidth="1"/>
    <col min="3" max="3" width="18" customWidth="1"/>
    <col min="4" max="7" width="16" customWidth="1"/>
    <col min="8" max="8" width="14" customWidth="1"/>
  </cols>
  <sheetData>
    <row r="1" ht="17.6" spans="1:8">
      <c r="A1" s="1" t="s">
        <v>82</v>
      </c>
      <c r="B1" s="2" t="s">
        <v>82</v>
      </c>
      <c r="C1" s="2" t="s">
        <v>82</v>
      </c>
      <c r="D1" s="2" t="s">
        <v>82</v>
      </c>
      <c r="E1" s="2" t="s">
        <v>82</v>
      </c>
      <c r="F1" s="2" t="s">
        <v>82</v>
      </c>
      <c r="G1" s="2" t="s">
        <v>82</v>
      </c>
      <c r="H1" s="3" t="s">
        <v>82</v>
      </c>
    </row>
    <row r="3" spans="1:8">
      <c r="A3" s="4" t="s">
        <v>83</v>
      </c>
      <c r="B3" s="4" t="s">
        <v>84</v>
      </c>
      <c r="C3" s="4" t="s">
        <v>85</v>
      </c>
      <c r="D3" s="4" t="s">
        <v>86</v>
      </c>
      <c r="E3" s="4" t="s">
        <v>87</v>
      </c>
      <c r="F3" s="4" t="s">
        <v>88</v>
      </c>
      <c r="G3" s="4" t="s">
        <v>11</v>
      </c>
      <c r="H3" s="4" t="s">
        <v>15</v>
      </c>
    </row>
    <row r="4" spans="1:8">
      <c r="A4" s="10">
        <v>46210</v>
      </c>
      <c r="B4" s="7" t="s">
        <v>89</v>
      </c>
      <c r="C4" s="7" t="s">
        <v>90</v>
      </c>
      <c r="D4" s="11">
        <v>27500000</v>
      </c>
      <c r="E4" s="11">
        <v>27500000</v>
      </c>
      <c r="F4" s="8">
        <f>SUM($D$4:D4)</f>
        <v>27500000</v>
      </c>
      <c r="G4" s="8">
        <f t="shared" ref="G4:G30" si="0">IF(E4="","",E4-F4)</f>
        <v>0</v>
      </c>
      <c r="H4" s="9">
        <f t="shared" ref="H4:H30" si="1">IFERROR(G4/F4,0)</f>
        <v>0</v>
      </c>
    </row>
    <row r="5" spans="1:8">
      <c r="A5" s="10">
        <v>46210</v>
      </c>
      <c r="B5" s="7" t="s">
        <v>89</v>
      </c>
      <c r="C5" s="7" t="s">
        <v>91</v>
      </c>
      <c r="D5" s="11">
        <v>0</v>
      </c>
      <c r="E5" s="11">
        <v>20683829</v>
      </c>
      <c r="F5" s="8">
        <f>SUM($D$4:D5)</f>
        <v>27500000</v>
      </c>
      <c r="G5" s="8">
        <f t="shared" si="0"/>
        <v>-6816171</v>
      </c>
      <c r="H5" s="9">
        <f t="shared" si="1"/>
        <v>-0.247860763636364</v>
      </c>
    </row>
    <row r="6" spans="1:8">
      <c r="A6" s="10">
        <v>46210</v>
      </c>
      <c r="B6" s="7" t="s">
        <v>92</v>
      </c>
      <c r="C6" s="7" t="s">
        <v>93</v>
      </c>
      <c r="D6" s="11">
        <v>50000000</v>
      </c>
      <c r="E6" s="11">
        <v>70683829</v>
      </c>
      <c r="F6" s="8">
        <f>SUM($D$4:D6)</f>
        <v>77500000</v>
      </c>
      <c r="G6" s="8">
        <f t="shared" si="0"/>
        <v>-6816171</v>
      </c>
      <c r="H6" s="9">
        <f t="shared" si="1"/>
        <v>-0.0879505935483871</v>
      </c>
    </row>
    <row r="7" spans="1:8">
      <c r="A7" s="10"/>
      <c r="B7" s="7"/>
      <c r="C7" s="7"/>
      <c r="D7" s="11"/>
      <c r="E7" s="11"/>
      <c r="F7" s="8">
        <f>SUM($D$4:D7)</f>
        <v>77500000</v>
      </c>
      <c r="G7" s="8" t="str">
        <f t="shared" si="0"/>
        <v/>
      </c>
      <c r="H7" s="9">
        <f t="shared" si="1"/>
        <v>0</v>
      </c>
    </row>
    <row r="8" spans="1:8">
      <c r="A8" s="10"/>
      <c r="B8" s="7"/>
      <c r="C8" s="7"/>
      <c r="D8" s="11"/>
      <c r="E8" s="11"/>
      <c r="F8" s="8">
        <f>SUM($D$4:D8)</f>
        <v>77500000</v>
      </c>
      <c r="G8" s="8" t="str">
        <f t="shared" si="0"/>
        <v/>
      </c>
      <c r="H8" s="9">
        <f t="shared" si="1"/>
        <v>0</v>
      </c>
    </row>
    <row r="9" spans="1:8">
      <c r="A9" s="10"/>
      <c r="B9" s="7"/>
      <c r="C9" s="7"/>
      <c r="D9" s="11"/>
      <c r="E9" s="11"/>
      <c r="F9" s="8">
        <f>SUM($D$4:D9)</f>
        <v>77500000</v>
      </c>
      <c r="G9" s="8" t="str">
        <f t="shared" si="0"/>
        <v/>
      </c>
      <c r="H9" s="9">
        <f t="shared" si="1"/>
        <v>0</v>
      </c>
    </row>
    <row r="10" spans="1:8">
      <c r="A10" s="10"/>
      <c r="B10" s="7"/>
      <c r="C10" s="7"/>
      <c r="D10" s="11"/>
      <c r="E10" s="11"/>
      <c r="F10" s="8">
        <f>SUM($D$4:D10)</f>
        <v>77500000</v>
      </c>
      <c r="G10" s="8" t="str">
        <f t="shared" si="0"/>
        <v/>
      </c>
      <c r="H10" s="9">
        <f t="shared" si="1"/>
        <v>0</v>
      </c>
    </row>
    <row r="11" spans="1:8">
      <c r="A11" s="10"/>
      <c r="B11" s="7"/>
      <c r="C11" s="7"/>
      <c r="D11" s="11"/>
      <c r="E11" s="11"/>
      <c r="F11" s="8">
        <f>SUM($D$4:D11)</f>
        <v>77500000</v>
      </c>
      <c r="G11" s="8" t="str">
        <f t="shared" si="0"/>
        <v/>
      </c>
      <c r="H11" s="9">
        <f t="shared" si="1"/>
        <v>0</v>
      </c>
    </row>
    <row r="12" spans="1:8">
      <c r="A12" s="10"/>
      <c r="B12" s="7"/>
      <c r="C12" s="7"/>
      <c r="D12" s="11"/>
      <c r="E12" s="11"/>
      <c r="F12" s="8">
        <f>SUM($D$4:D12)</f>
        <v>77500000</v>
      </c>
      <c r="G12" s="8" t="str">
        <f t="shared" si="0"/>
        <v/>
      </c>
      <c r="H12" s="9">
        <f t="shared" si="1"/>
        <v>0</v>
      </c>
    </row>
    <row r="13" spans="1:8">
      <c r="A13" s="10"/>
      <c r="B13" s="7"/>
      <c r="C13" s="7"/>
      <c r="D13" s="11"/>
      <c r="E13" s="11"/>
      <c r="F13" s="8">
        <f>SUM($D$4:D13)</f>
        <v>77500000</v>
      </c>
      <c r="G13" s="8" t="str">
        <f t="shared" si="0"/>
        <v/>
      </c>
      <c r="H13" s="9">
        <f t="shared" si="1"/>
        <v>0</v>
      </c>
    </row>
    <row r="14" spans="1:8">
      <c r="A14" s="10"/>
      <c r="B14" s="7"/>
      <c r="C14" s="7"/>
      <c r="D14" s="11"/>
      <c r="E14" s="11"/>
      <c r="F14" s="8">
        <f>SUM($D$4:D14)</f>
        <v>77500000</v>
      </c>
      <c r="G14" s="8" t="str">
        <f t="shared" si="0"/>
        <v/>
      </c>
      <c r="H14" s="9">
        <f t="shared" si="1"/>
        <v>0</v>
      </c>
    </row>
    <row r="15" spans="1:8">
      <c r="A15" s="10"/>
      <c r="B15" s="7"/>
      <c r="C15" s="7"/>
      <c r="D15" s="11"/>
      <c r="E15" s="11"/>
      <c r="F15" s="8">
        <f>SUM($D$4:D15)</f>
        <v>77500000</v>
      </c>
      <c r="G15" s="8" t="str">
        <f t="shared" si="0"/>
        <v/>
      </c>
      <c r="H15" s="9">
        <f t="shared" si="1"/>
        <v>0</v>
      </c>
    </row>
    <row r="16" spans="1:8">
      <c r="A16" s="10"/>
      <c r="B16" s="7"/>
      <c r="C16" s="7"/>
      <c r="D16" s="11"/>
      <c r="E16" s="11"/>
      <c r="F16" s="8">
        <f>SUM($D$4:D16)</f>
        <v>77500000</v>
      </c>
      <c r="G16" s="8" t="str">
        <f t="shared" si="0"/>
        <v/>
      </c>
      <c r="H16" s="9">
        <f t="shared" si="1"/>
        <v>0</v>
      </c>
    </row>
    <row r="17" spans="1:8">
      <c r="A17" s="10"/>
      <c r="B17" s="7"/>
      <c r="C17" s="7"/>
      <c r="D17" s="11"/>
      <c r="E17" s="11"/>
      <c r="F17" s="8">
        <f>SUM($D$4:D17)</f>
        <v>77500000</v>
      </c>
      <c r="G17" s="8" t="str">
        <f t="shared" si="0"/>
        <v/>
      </c>
      <c r="H17" s="9">
        <f t="shared" si="1"/>
        <v>0</v>
      </c>
    </row>
    <row r="18" spans="1:8">
      <c r="A18" s="10"/>
      <c r="B18" s="7"/>
      <c r="C18" s="7"/>
      <c r="D18" s="11"/>
      <c r="E18" s="11"/>
      <c r="F18" s="8">
        <f>SUM($D$4:D18)</f>
        <v>77500000</v>
      </c>
      <c r="G18" s="8" t="str">
        <f t="shared" si="0"/>
        <v/>
      </c>
      <c r="H18" s="9">
        <f t="shared" si="1"/>
        <v>0</v>
      </c>
    </row>
    <row r="19" spans="1:8">
      <c r="A19" s="10"/>
      <c r="B19" s="7"/>
      <c r="C19" s="7"/>
      <c r="D19" s="11"/>
      <c r="E19" s="11"/>
      <c r="F19" s="8">
        <f>SUM($D$4:D19)</f>
        <v>77500000</v>
      </c>
      <c r="G19" s="8" t="str">
        <f t="shared" si="0"/>
        <v/>
      </c>
      <c r="H19" s="9">
        <f t="shared" si="1"/>
        <v>0</v>
      </c>
    </row>
    <row r="20" spans="1:8">
      <c r="A20" s="10"/>
      <c r="B20" s="7"/>
      <c r="C20" s="7"/>
      <c r="D20" s="11"/>
      <c r="E20" s="11"/>
      <c r="F20" s="8">
        <f>SUM($D$4:D20)</f>
        <v>77500000</v>
      </c>
      <c r="G20" s="8" t="str">
        <f t="shared" si="0"/>
        <v/>
      </c>
      <c r="H20" s="9">
        <f t="shared" si="1"/>
        <v>0</v>
      </c>
    </row>
    <row r="21" spans="1:8">
      <c r="A21" s="10"/>
      <c r="B21" s="7"/>
      <c r="C21" s="7"/>
      <c r="D21" s="11"/>
      <c r="E21" s="11"/>
      <c r="F21" s="8">
        <f>SUM($D$4:D21)</f>
        <v>77500000</v>
      </c>
      <c r="G21" s="8" t="str">
        <f t="shared" si="0"/>
        <v/>
      </c>
      <c r="H21" s="9">
        <f t="shared" si="1"/>
        <v>0</v>
      </c>
    </row>
    <row r="22" spans="1:8">
      <c r="A22" s="10"/>
      <c r="B22" s="7"/>
      <c r="C22" s="7"/>
      <c r="D22" s="11"/>
      <c r="E22" s="11"/>
      <c r="F22" s="8">
        <f>SUM($D$4:D22)</f>
        <v>77500000</v>
      </c>
      <c r="G22" s="8" t="str">
        <f t="shared" si="0"/>
        <v/>
      </c>
      <c r="H22" s="9">
        <f t="shared" si="1"/>
        <v>0</v>
      </c>
    </row>
    <row r="23" spans="1:8">
      <c r="A23" s="10"/>
      <c r="B23" s="7"/>
      <c r="C23" s="7"/>
      <c r="D23" s="11"/>
      <c r="E23" s="11"/>
      <c r="F23" s="8">
        <f>SUM($D$4:D23)</f>
        <v>77500000</v>
      </c>
      <c r="G23" s="8" t="str">
        <f t="shared" si="0"/>
        <v/>
      </c>
      <c r="H23" s="9">
        <f t="shared" si="1"/>
        <v>0</v>
      </c>
    </row>
    <row r="24" spans="1:8">
      <c r="A24" s="10"/>
      <c r="B24" s="7"/>
      <c r="C24" s="7"/>
      <c r="D24" s="11"/>
      <c r="E24" s="11"/>
      <c r="F24" s="8">
        <f>SUM($D$4:D24)</f>
        <v>77500000</v>
      </c>
      <c r="G24" s="8" t="str">
        <f t="shared" si="0"/>
        <v/>
      </c>
      <c r="H24" s="9">
        <f t="shared" si="1"/>
        <v>0</v>
      </c>
    </row>
    <row r="25" spans="1:8">
      <c r="A25" s="10"/>
      <c r="B25" s="7"/>
      <c r="C25" s="7"/>
      <c r="D25" s="11"/>
      <c r="E25" s="11"/>
      <c r="F25" s="8">
        <f>SUM($D$4:D25)</f>
        <v>77500000</v>
      </c>
      <c r="G25" s="8" t="str">
        <f t="shared" si="0"/>
        <v/>
      </c>
      <c r="H25" s="9">
        <f t="shared" si="1"/>
        <v>0</v>
      </c>
    </row>
    <row r="26" spans="1:8">
      <c r="A26" s="10"/>
      <c r="B26" s="7"/>
      <c r="C26" s="7"/>
      <c r="D26" s="11"/>
      <c r="E26" s="11"/>
      <c r="F26" s="8">
        <f>SUM($D$4:D26)</f>
        <v>77500000</v>
      </c>
      <c r="G26" s="8" t="str">
        <f t="shared" si="0"/>
        <v/>
      </c>
      <c r="H26" s="9">
        <f t="shared" si="1"/>
        <v>0</v>
      </c>
    </row>
    <row r="27" spans="1:8">
      <c r="A27" s="10"/>
      <c r="B27" s="7"/>
      <c r="C27" s="7"/>
      <c r="D27" s="11"/>
      <c r="E27" s="11"/>
      <c r="F27" s="8">
        <f>SUM($D$4:D27)</f>
        <v>77500000</v>
      </c>
      <c r="G27" s="8" t="str">
        <f t="shared" si="0"/>
        <v/>
      </c>
      <c r="H27" s="9">
        <f t="shared" si="1"/>
        <v>0</v>
      </c>
    </row>
    <row r="28" spans="1:8">
      <c r="A28" s="10"/>
      <c r="B28" s="7"/>
      <c r="C28" s="7"/>
      <c r="D28" s="11"/>
      <c r="E28" s="11"/>
      <c r="F28" s="8">
        <f>SUM($D$4:D28)</f>
        <v>77500000</v>
      </c>
      <c r="G28" s="8" t="str">
        <f t="shared" si="0"/>
        <v/>
      </c>
      <c r="H28" s="9">
        <f t="shared" si="1"/>
        <v>0</v>
      </c>
    </row>
    <row r="29" spans="1:8">
      <c r="A29" s="10"/>
      <c r="B29" s="7"/>
      <c r="C29" s="7"/>
      <c r="D29" s="11"/>
      <c r="E29" s="11"/>
      <c r="F29" s="8">
        <f>SUM($D$4:D29)</f>
        <v>77500000</v>
      </c>
      <c r="G29" s="8" t="str">
        <f t="shared" si="0"/>
        <v/>
      </c>
      <c r="H29" s="9">
        <f t="shared" si="1"/>
        <v>0</v>
      </c>
    </row>
    <row r="30" spans="1:8">
      <c r="A30" s="10"/>
      <c r="B30" s="7"/>
      <c r="C30" s="7"/>
      <c r="D30" s="11"/>
      <c r="E30" s="11"/>
      <c r="F30" s="8">
        <f>SUM($D$4:D30)</f>
        <v>77500000</v>
      </c>
      <c r="G30" s="8" t="str">
        <f t="shared" si="0"/>
        <v/>
      </c>
      <c r="H30" s="9">
        <f t="shared" si="1"/>
        <v>0</v>
      </c>
    </row>
  </sheetData>
  <mergeCells count="1">
    <mergeCell ref="A1:H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workbookViewId="0">
      <selection activeCell="A1" sqref="A1:D1"/>
    </sheetView>
  </sheetViews>
  <sheetFormatPr defaultColWidth="9" defaultRowHeight="16.8"/>
  <cols>
    <col min="1" max="2" width="18" customWidth="1"/>
    <col min="3" max="3" width="70" customWidth="1"/>
    <col min="4" max="4" width="12" customWidth="1"/>
  </cols>
  <sheetData>
    <row r="1" ht="17.6" spans="1:10">
      <c r="A1" s="1" t="s">
        <v>94</v>
      </c>
      <c r="B1" s="2" t="s">
        <v>94</v>
      </c>
      <c r="C1" s="2" t="s">
        <v>94</v>
      </c>
      <c r="D1" s="3" t="s">
        <v>94</v>
      </c>
      <c r="F1" s="1" t="s">
        <v>95</v>
      </c>
      <c r="G1" s="2" t="s">
        <v>95</v>
      </c>
      <c r="H1" s="2" t="s">
        <v>95</v>
      </c>
      <c r="I1" s="2" t="s">
        <v>95</v>
      </c>
      <c r="J1" s="3" t="s">
        <v>95</v>
      </c>
    </row>
    <row r="3" spans="1:10">
      <c r="A3" s="4" t="s">
        <v>47</v>
      </c>
      <c r="B3" s="4" t="s">
        <v>96</v>
      </c>
      <c r="C3" s="4" t="s">
        <v>97</v>
      </c>
      <c r="D3" s="4" t="s">
        <v>98</v>
      </c>
      <c r="F3" s="4" t="s">
        <v>99</v>
      </c>
      <c r="G3" s="4" t="s">
        <v>100</v>
      </c>
      <c r="H3" s="4" t="s">
        <v>101</v>
      </c>
      <c r="I3" s="4" t="s">
        <v>102</v>
      </c>
      <c r="J3" s="4" t="s">
        <v>103</v>
      </c>
    </row>
    <row r="4" ht="17" spans="1:10">
      <c r="A4" s="5" t="s">
        <v>51</v>
      </c>
      <c r="B4" s="6">
        <v>27500000</v>
      </c>
      <c r="C4" s="5" t="s">
        <v>104</v>
      </c>
      <c r="D4" s="5" t="s">
        <v>105</v>
      </c>
      <c r="F4" s="7" t="s">
        <v>106</v>
      </c>
      <c r="G4" s="8">
        <f>Accounts!B5+Accounts!B6</f>
        <v>27500000</v>
      </c>
      <c r="H4" s="8">
        <f>Accounts!B4</f>
        <v>27500000</v>
      </c>
      <c r="I4" s="8">
        <f>G4-H4</f>
        <v>0</v>
      </c>
      <c r="J4" s="7" t="str">
        <f>IF(ABS(I4)&lt;1,"OK","CHECK")</f>
        <v>OK</v>
      </c>
    </row>
    <row r="5" ht="17" spans="1:10">
      <c r="A5" s="5" t="s">
        <v>53</v>
      </c>
      <c r="B5" s="6">
        <v>25000000</v>
      </c>
      <c r="C5" s="5" t="s">
        <v>107</v>
      </c>
      <c r="D5" s="5" t="s">
        <v>105</v>
      </c>
      <c r="F5" s="7" t="s">
        <v>108</v>
      </c>
      <c r="G5" s="8">
        <f>Accounts!B16+Accounts!B17</f>
        <v>70683829</v>
      </c>
      <c r="H5" s="8">
        <f>Accounts!B14</f>
        <v>70683829</v>
      </c>
      <c r="I5" s="8">
        <f>G5-H5</f>
        <v>0</v>
      </c>
      <c r="J5" s="7" t="str">
        <f>IF(ABS(I5)&lt;1,"OK","CHECK")</f>
        <v>OK</v>
      </c>
    </row>
    <row r="6" ht="17" spans="1:10">
      <c r="A6" s="5" t="s">
        <v>55</v>
      </c>
      <c r="B6" s="6">
        <v>2500000</v>
      </c>
      <c r="C6" s="5" t="s">
        <v>109</v>
      </c>
      <c r="D6" s="5" t="s">
        <v>105</v>
      </c>
      <c r="F6" s="7" t="s">
        <v>110</v>
      </c>
      <c r="G6" s="9">
        <f>Accounts!B18+Accounts!B19</f>
        <v>1</v>
      </c>
      <c r="H6" s="9">
        <f>1</f>
        <v>1</v>
      </c>
      <c r="I6" s="9">
        <f>G6-H6</f>
        <v>0</v>
      </c>
      <c r="J6" s="7" t="str">
        <f>IF(ABS(I6)&lt;0.0001,"OK","CHECK")</f>
        <v>OK</v>
      </c>
    </row>
    <row r="7" ht="17" spans="1:10">
      <c r="A7" s="5" t="s">
        <v>9</v>
      </c>
      <c r="B7" s="6">
        <v>20683829</v>
      </c>
      <c r="C7" s="5" t="s">
        <v>111</v>
      </c>
      <c r="D7" s="5" t="s">
        <v>105</v>
      </c>
      <c r="F7" s="7" t="s">
        <v>112</v>
      </c>
      <c r="G7" s="8">
        <f>Dashboard!B9</f>
        <v>70683829</v>
      </c>
      <c r="H7" s="8">
        <f>Accounts!B14</f>
        <v>70683829</v>
      </c>
      <c r="I7" s="8">
        <f>G7-H7</f>
        <v>0</v>
      </c>
      <c r="J7" s="7" t="str">
        <f>IF(ABS(I7)&lt;1,"OK","CHECK")</f>
        <v>OK</v>
      </c>
    </row>
    <row r="8" ht="17" spans="1:4">
      <c r="A8" s="5" t="s">
        <v>19</v>
      </c>
      <c r="B8" s="5">
        <v>50000000</v>
      </c>
      <c r="C8" s="5" t="s">
        <v>113</v>
      </c>
      <c r="D8" s="5" t="s">
        <v>105</v>
      </c>
    </row>
    <row r="9" ht="34" spans="1:4">
      <c r="A9" s="5" t="s">
        <v>114</v>
      </c>
      <c r="B9" s="5" t="s">
        <v>115</v>
      </c>
      <c r="C9" s="5" t="s">
        <v>116</v>
      </c>
      <c r="D9" s="5" t="s">
        <v>117</v>
      </c>
    </row>
    <row r="10" ht="17" spans="1:4">
      <c r="A10" s="5" t="s">
        <v>118</v>
      </c>
      <c r="B10" s="5" t="s">
        <v>119</v>
      </c>
      <c r="C10" s="5" t="s">
        <v>120</v>
      </c>
      <c r="D10" s="5" t="s">
        <v>121</v>
      </c>
    </row>
    <row r="11" ht="17" spans="1:4">
      <c r="A11" s="5" t="s">
        <v>39</v>
      </c>
      <c r="B11" s="5" t="s">
        <v>122</v>
      </c>
      <c r="C11" s="5" t="s">
        <v>123</v>
      </c>
      <c r="D11" s="5" t="s">
        <v>105</v>
      </c>
    </row>
  </sheetData>
  <mergeCells count="2">
    <mergeCell ref="A1:D1"/>
    <mergeCell ref="F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Accounts</vt:lpstr>
      <vt:lpstr>Scenarios</vt:lpstr>
      <vt:lpstr>Ledger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WPS_1723694128</cp:lastModifiedBy>
  <dcterms:created xsi:type="dcterms:W3CDTF">2026-07-07T11:29:26Z</dcterms:created>
  <dcterms:modified xsi:type="dcterms:W3CDTF">2026-07-07T14:05:02Z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409E8ED8EF11DD840E974C6A856A1143_42</vt:lpwstr>
  </property>
  <property fmtid="{D5CDD505-2E9C-101B-9397-08002B2CF9AE}" pid="3" name="KSOProductBuildVer">
    <vt:lpwstr>2052-6.14.0.8924</vt:lpwstr>
  </property>
</Properties>
</file>